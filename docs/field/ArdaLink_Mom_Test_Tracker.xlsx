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w_to_use" sheetId="1" state="visible" r:id="rId1"/>
    <sheet xmlns:r="http://schemas.openxmlformats.org/officeDocument/2006/relationships" name="01_Screener" sheetId="2" state="visible" r:id="rId2"/>
    <sheet xmlns:r="http://schemas.openxmlformats.org/officeDocument/2006/relationships" name="02_Hypotheses" sheetId="3" state="visible" r:id="rId3"/>
    <sheet xmlns:r="http://schemas.openxmlformats.org/officeDocument/2006/relationships" name="03_Interview_Log" sheetId="4" state="visible" r:id="rId4"/>
    <sheet xmlns:r="http://schemas.openxmlformats.org/officeDocument/2006/relationships" name="04_Quotes" sheetId="5" state="visible" r:id="rId5"/>
    <sheet xmlns:r="http://schemas.openxmlformats.org/officeDocument/2006/relationships" name="05_Numbers" sheetId="6" state="visible" r:id="rId6"/>
    <sheet xmlns:r="http://schemas.openxmlformats.org/officeDocument/2006/relationships" name="06_WhoIsWho" sheetId="7" state="visible" r:id="rId7"/>
    <sheet xmlns:r="http://schemas.openxmlformats.org/officeDocument/2006/relationships" name="07_G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</font>
    <font>
      <b val="1"/>
      <sz val="13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8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Arda Link — Mom Test tracker</t>
        </is>
      </c>
    </row>
    <row r="3">
      <c r="A3" s="2" t="inlineStr">
        <is>
          <t>Mom Test field tracker — where the 10 interviews become rows, and a verdict.</t>
        </is>
      </c>
    </row>
    <row r="4">
      <c r="A4" s="2" t="inlineStr"/>
    </row>
    <row r="5">
      <c r="A5" s="2" t="inlineStr">
        <is>
          <t>1. 01_Screener: book the interviews (screening facts + which quota each one fills).</t>
        </is>
      </c>
    </row>
    <row r="6">
      <c r="A6" s="2" t="inlineStr">
        <is>
          <t>2. 02_Hypotheses: after each interview mark Y / N / ? for every hypothesis id, and record the evidence id from 04_Quotes.</t>
        </is>
      </c>
    </row>
    <row r="7">
      <c r="A7" s="2" t="inlineStr">
        <is>
          <t>3. 03_Interview_Log: one row per visit, including the product-test outcomes (T1-T8).</t>
        </is>
      </c>
    </row>
    <row r="8">
      <c r="A8" s="2" t="inlineStr">
        <is>
          <t>4. 04_Quotes: verbatim quotes only, each tagged and tied to a hypothesis.</t>
        </is>
      </c>
    </row>
    <row r="9">
      <c r="A9" s="2" t="inlineStr">
        <is>
          <t>5. 05_Numbers: every number he gave - minimum three per interview.</t>
        </is>
      </c>
    </row>
    <row r="10">
      <c r="A10" s="2" t="inlineStr">
        <is>
          <t>6. 06_WhoIsWho: complete the user / beneficiary / payer / gatekeeper map.</t>
        </is>
      </c>
    </row>
    <row r="11">
      <c r="A11" s="2" t="inlineStr">
        <is>
          <t>7. 07_Gate: fills itself from the other sheets. Read the verdict before deciding what to build next.</t>
        </is>
      </c>
    </row>
    <row r="12">
      <c r="A12" s="2" t="inlineStr"/>
    </row>
    <row r="13">
      <c r="A13" s="2" t="inlineStr">
        <is>
          <t>Rule of the whole round: unprompted mentions count, prompted agreement does not. Numbers or it did not happen. The script is docs/field/mom_test_field_kit.md (section 4) - and never pitch.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9" customWidth="1" min="4" max="4"/>
    <col width="14" customWidth="1" min="5" max="5"/>
    <col width="26" customWidth="1" min="6" max="6"/>
    <col width="9" customWidth="1" min="7" max="7"/>
    <col width="11" customWidth="1" min="8" max="8"/>
    <col width="16" customWidth="1" min="9" max="9"/>
    <col width="9" customWidth="1" min="10" max="10"/>
    <col width="16" customWidth="1" min="11" max="11"/>
    <col width="9" customWidth="1" min="12" max="12"/>
    <col width="11" customWidth="1" min="13" max="13"/>
    <col width="9" customWidth="1" min="14" max="14"/>
    <col width="9" customWidth="1" min="15" max="15"/>
    <col width="30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#</t>
        </is>
      </c>
      <c r="B1" s="3" t="inlineStr">
        <is>
          <t>Initials</t>
        </is>
      </c>
      <c r="C1" s="3" t="inlineStr">
        <is>
          <t>Sex</t>
        </is>
      </c>
      <c r="D1" s="3" t="inlineStr">
        <is>
          <t>Age band</t>
        </is>
      </c>
      <c r="E1" s="3" t="inlineStr">
        <is>
          <t>Ward</t>
        </is>
      </c>
      <c r="F1" s="3" t="inlineStr">
        <is>
          <t>Water point</t>
        </is>
      </c>
      <c r="G1" s="3" t="inlineStr">
        <is>
          <t>Walk time (min)</t>
        </is>
      </c>
      <c r="H1" s="3" t="inlineStr">
        <is>
          <t>Distance band</t>
        </is>
      </c>
      <c r="I1" s="3" t="inlineStr">
        <is>
          <t>Species</t>
        </is>
      </c>
      <c r="J1" s="3" t="inlineStr">
        <is>
          <t>Herd size</t>
        </is>
      </c>
      <c r="K1" s="3" t="inlineStr">
        <is>
          <t>Who holds the phone</t>
        </is>
      </c>
      <c r="L1" s="3" t="inlineStr">
        <is>
          <t>WhatsApp (Y/N)</t>
        </is>
      </c>
      <c r="M1" s="3" t="inlineStr">
        <is>
          <t>Reads / listens</t>
        </is>
      </c>
      <c r="N1" s="3" t="inlineStr">
        <is>
          <t>Shares phone (Y/N)</t>
        </is>
      </c>
      <c r="O1" s="3" t="inlineStr">
        <is>
          <t>Bad health event (Y/N)</t>
        </is>
      </c>
      <c r="P1" s="3" t="inlineStr">
        <is>
          <t>Quota filled</t>
        </is>
      </c>
      <c r="Q1" s="3" t="inlineStr">
        <is>
          <t>Interviewer</t>
        </is>
      </c>
      <c r="R1" s="3" t="inlineStr">
        <is>
          <t>Date booked</t>
        </is>
      </c>
      <c r="S1" s="3" t="inlineStr">
        <is>
          <t>Status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34" customWidth="1" min="4" max="4"/>
    <col width="4" customWidth="1" min="5" max="5"/>
    <col width="20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8" customWidth="1" min="22" max="22"/>
    <col width="8" customWidth="1" min="23" max="23"/>
    <col width="15" customWidth="1" min="24" max="24"/>
  </cols>
  <sheetData>
    <row r="1">
      <c r="A1" s="3" t="inlineStr">
        <is>
          <t>ID</t>
        </is>
      </c>
      <c r="B1" s="3" t="inlineStr">
        <is>
          <t>Hypothesis</t>
        </is>
      </c>
      <c r="C1" s="3" t="inlineStr">
        <is>
          <t>TRUE if</t>
        </is>
      </c>
      <c r="D1" s="3" t="inlineStr">
        <is>
          <t>FALSE -&gt; kill/pivot</t>
        </is>
      </c>
      <c r="E1" s="3" t="inlineStr">
        <is>
          <t>T</t>
        </is>
      </c>
      <c r="F1" s="3" t="inlineStr">
        <is>
          <t>How tested</t>
        </is>
      </c>
      <c r="G1" s="3" t="inlineStr">
        <is>
          <t>I01</t>
        </is>
      </c>
      <c r="H1" s="3" t="inlineStr">
        <is>
          <t>I02</t>
        </is>
      </c>
      <c r="I1" s="3" t="inlineStr">
        <is>
          <t>I03</t>
        </is>
      </c>
      <c r="J1" s="3" t="inlineStr">
        <is>
          <t>I04</t>
        </is>
      </c>
      <c r="K1" s="3" t="inlineStr">
        <is>
          <t>I05</t>
        </is>
      </c>
      <c r="L1" s="3" t="inlineStr">
        <is>
          <t>I06</t>
        </is>
      </c>
      <c r="M1" s="3" t="inlineStr">
        <is>
          <t>I07</t>
        </is>
      </c>
      <c r="N1" s="3" t="inlineStr">
        <is>
          <t>I08</t>
        </is>
      </c>
      <c r="O1" s="3" t="inlineStr">
        <is>
          <t>I09</t>
        </is>
      </c>
      <c r="P1" s="3" t="inlineStr">
        <is>
          <t>I10</t>
        </is>
      </c>
      <c r="Q1" s="3" t="inlineStr">
        <is>
          <t>I11</t>
        </is>
      </c>
      <c r="R1" s="3" t="inlineStr">
        <is>
          <t>I12</t>
        </is>
      </c>
      <c r="S1" s="3" t="inlineStr">
        <is>
          <t>I13</t>
        </is>
      </c>
      <c r="T1" s="3" t="inlineStr">
        <is>
          <t>I14</t>
        </is>
      </c>
      <c r="U1" s="3" t="inlineStr">
        <is>
          <t>I15</t>
        </is>
      </c>
      <c r="V1" s="3" t="inlineStr">
        <is>
          <t>Y count</t>
        </is>
      </c>
      <c r="W1" s="3" t="inlineStr">
        <is>
          <t>N count</t>
        </is>
      </c>
      <c r="X1" s="3" t="inlineStr">
        <is>
          <t>Verdict</t>
        </is>
      </c>
    </row>
    <row r="2">
      <c r="A2" s="4" t="inlineStr">
        <is>
          <t>D1</t>
        </is>
      </c>
      <c r="B2" s="5" t="inlineStr">
        <is>
          <t>The water and grazing decision is frequent, hard and expensive</t>
        </is>
      </c>
      <c r="C2" s="5" t="inlineStr">
        <is>
          <t>&gt;=6/10 describe a specific episode with a month, a place and a cost</t>
        </is>
      </c>
      <c r="D2" s="5" t="inlineStr">
        <is>
          <t>&lt;4/10 describe any specific loss</t>
        </is>
      </c>
      <c r="E2" s="5" t="n">
        <v>6</v>
      </c>
      <c r="F2" s="5" t="inlineStr">
        <is>
          <t>B4-B9, C10-C15, D16-D21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>
        <f>COUNTIF(F2:T2,"Y")</f>
        <v/>
      </c>
      <c r="V2" s="5">
        <f>COUNTIF(F2:T2,"N")</f>
        <v/>
      </c>
      <c r="W2" s="5">
        <f>IF(U2+V2=0,"",IF(U2&gt;=E2,"SUPPORTED",IF(V2&gt;=16-E2,"CONTRADICTED","UNKNOWN")))</f>
        <v/>
      </c>
    </row>
    <row r="3">
      <c r="A3" s="4" t="inlineStr">
        <is>
          <t>D2</t>
        </is>
      </c>
      <c r="B3" s="5" t="inlineStr">
        <is>
          <t>Information is the binding constraint, not money, water or land</t>
        </is>
      </c>
      <c r="C3" s="5" t="inlineStr">
        <is>
          <t>They pay or travel to find out, and act on what they learn</t>
        </is>
      </c>
      <c r="D3" s="5" t="inlineStr">
        <is>
          <t>They know and still cannot act</t>
        </is>
      </c>
      <c r="E3" s="5" t="n">
        <v>6</v>
      </c>
      <c r="F3" s="5" t="inlineStr">
        <is>
          <t>C11-C12, E23-E26, H38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>
        <f>COUNTIF(F3:T3,"Y")</f>
        <v/>
      </c>
      <c r="V3" s="5">
        <f>COUNTIF(F3:T3,"N")</f>
        <v/>
      </c>
      <c r="W3" s="5">
        <f>IF(U3+V3=0,"",IF(U3&gt;=E3,"SUPPORTED",IF(V3&gt;=16-E3,"CONTRADICTED","UNKNOWN")))</f>
        <v/>
      </c>
    </row>
    <row r="4">
      <c r="A4" s="4" t="inlineStr">
        <is>
          <t>D3</t>
        </is>
      </c>
      <c r="B4" s="5" t="inlineStr">
        <is>
          <t>The loss is big enough to matter to a household</t>
        </is>
      </c>
      <c r="C4" s="5" t="inlineStr">
        <is>
          <t>Named losses in animals, milk or shillings in the last 12 months</t>
        </is>
      </c>
      <c r="D4" s="5" t="inlineStr">
        <is>
          <t>Losses are rare and small</t>
        </is>
      </c>
      <c r="E4" s="5" t="n">
        <v>6</v>
      </c>
      <c r="F4" s="5" t="inlineStr">
        <is>
          <t>D19, H37, K51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>
        <f>COUNTIF(F4:T4,"Y")</f>
        <v/>
      </c>
      <c r="V4" s="5">
        <f>COUNTIF(F4:T4,"N")</f>
        <v/>
      </c>
      <c r="W4" s="5">
        <f>IF(U4+V4=0,"",IF(U4&gt;=E4,"SUPPORTED",IF(V4&gt;=16-E4,"CONTRADICTED","UNKNOWN")))</f>
        <v/>
      </c>
    </row>
    <row r="5">
      <c r="A5" s="4" t="inlineStr">
        <is>
          <t>D4</t>
        </is>
      </c>
      <c r="B5" s="5" t="inlineStr">
        <is>
          <t>It is a recurring decision, not once a year</t>
        </is>
      </c>
      <c r="C5" s="5" t="inlineStr">
        <is>
          <t>Weekly-to-monthly cadence in &gt;=6/10</t>
        </is>
      </c>
      <c r="D5" s="5" t="inlineStr">
        <is>
          <t>Once a season</t>
        </is>
      </c>
      <c r="E5" s="5" t="n">
        <v>6</v>
      </c>
      <c r="F5" s="5" t="inlineStr">
        <is>
          <t>B4, C10, D16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>
        <f>COUNTIF(F5:T5,"Y")</f>
        <v/>
      </c>
      <c r="V5" s="5">
        <f>COUNTIF(F5:T5,"N")</f>
        <v/>
      </c>
      <c r="W5" s="5">
        <f>IF(U5+V5=0,"",IF(U5&gt;=E5,"SUPPORTED",IF(V5&gt;=16-E5,"CONTRADICTED","UNKNOWN")))</f>
        <v/>
      </c>
    </row>
    <row r="6">
      <c r="A6" s="4" t="inlineStr">
        <is>
          <t>U1</t>
        </is>
      </c>
      <c r="B6" s="5" t="inlineStr">
        <is>
          <t>A herder can find and use a WhatsApp service without training</t>
        </is>
      </c>
      <c r="C6" s="5" t="inlineStr">
        <is>
          <t>&gt;=7/10 complete the task unaided</t>
        </is>
      </c>
      <c r="D6" s="5" t="inlineStr">
        <is>
          <t>&lt;=4/10 complete the task</t>
        </is>
      </c>
      <c r="E6" s="5" t="n">
        <v>7</v>
      </c>
      <c r="F6" s="5" t="inlineStr">
        <is>
          <t>T1, T3, G36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>
        <f>COUNTIF(F6:T6,"Y")</f>
        <v/>
      </c>
      <c r="V6" s="5">
        <f>COUNTIF(F6:T6,"N")</f>
        <v/>
      </c>
      <c r="W6" s="5">
        <f>IF(U6+V6=0,"",IF(U6&gt;=E6,"SUPPORTED",IF(V6&gt;=16-E6,"CONTRADICTED","UNKNOWN")))</f>
        <v/>
      </c>
    </row>
    <row r="7">
      <c r="A7" s="4" t="inlineStr">
        <is>
          <t>U2</t>
        </is>
      </c>
      <c r="B7" s="5" t="inlineStr">
        <is>
          <t>One tap is a price he will pay to receive something</t>
        </is>
      </c>
      <c r="C7" s="5" t="inlineStr">
        <is>
          <t>&gt;=6/10 report once, or agree to a test</t>
        </is>
      </c>
      <c r="D7" s="5" t="inlineStr">
        <is>
          <t>Most refuse</t>
        </is>
      </c>
      <c r="E7" s="5" t="n">
        <v>6</v>
      </c>
      <c r="F7" s="5" t="inlineStr">
        <is>
          <t>T3, M57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>
        <f>COUNTIF(F7:T7,"Y")</f>
        <v/>
      </c>
      <c r="V7" s="5">
        <f>COUNTIF(F7:T7,"N")</f>
        <v/>
      </c>
      <c r="W7" s="5">
        <f>IF(U7+V7=0,"",IF(U7&gt;=E7,"SUPPORTED",IF(V7&gt;=16-E7,"CONTRADICTED","UNKNOWN")))</f>
        <v/>
      </c>
    </row>
    <row r="8">
      <c r="A8" s="4" t="inlineStr">
        <is>
          <t>U3</t>
        </is>
      </c>
      <c r="B8" s="5" t="inlineStr">
        <is>
          <t>Voice beats text for the people who matter most</t>
        </is>
      </c>
      <c r="C8" s="5" t="inlineStr">
        <is>
          <t>Voice chosen by the least literate and the most remote</t>
        </is>
      </c>
      <c r="D8" s="5" t="inlineStr">
        <is>
          <t>Text dominates</t>
        </is>
      </c>
      <c r="E8" s="5" t="n">
        <v>6</v>
      </c>
      <c r="F8" s="5" t="inlineStr">
        <is>
          <t>T4, G35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>
        <f>COUNTIF(F8:T8,"Y")</f>
        <v/>
      </c>
      <c r="V8" s="5">
        <f>COUNTIF(F8:T8,"N")</f>
        <v/>
      </c>
      <c r="W8" s="5">
        <f>IF(U8+V8=0,"",IF(U8&gt;=E8,"SUPPORTED",IF(V8&gt;=16-E8,"CONTRADICTED","UNKNOWN")))</f>
        <v/>
      </c>
    </row>
    <row r="9">
      <c r="A9" s="4" t="inlineStr">
        <is>
          <t>U4</t>
        </is>
      </c>
      <c r="B9" s="5" t="inlineStr">
        <is>
          <t>Our messages are understood the first time</t>
        </is>
      </c>
      <c r="C9" s="5" t="inlineStr">
        <is>
          <t>&gt;=8/10 restate the advice correctly</t>
        </is>
      </c>
      <c r="D9" s="5" t="inlineStr">
        <is>
          <t>Common misreadings</t>
        </is>
      </c>
      <c r="E9" s="5" t="n">
        <v>8</v>
      </c>
      <c r="F9" s="5" t="inlineStr">
        <is>
          <t>T2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>
        <f>COUNTIF(F9:T9,"Y")</f>
        <v/>
      </c>
      <c r="V9" s="5">
        <f>COUNTIF(F9:T9,"N")</f>
        <v/>
      </c>
      <c r="W9" s="5">
        <f>IF(U9+V9=0,"",IF(U9&gt;=E9,"SUPPORTED",IF(V9&gt;=16-E9,"CONTRADICTED","UNKNOWN")))</f>
        <v/>
      </c>
    </row>
    <row r="10">
      <c r="A10" s="4" t="inlineStr">
        <is>
          <t>F1</t>
        </is>
      </c>
      <c r="B10" s="5" t="inlineStr">
        <is>
          <t>A kg estimate is credible and useful</t>
        </is>
      </c>
      <c r="C10" s="5" t="inlineStr">
        <is>
          <t>A reference weight exists and a use is named</t>
        </is>
      </c>
      <c r="D10" s="5" t="inlineStr">
        <is>
          <t>No reference weights anywhere</t>
        </is>
      </c>
      <c r="E10" s="5" t="n">
        <v>6</v>
      </c>
      <c r="F10" s="5" t="inlineStr">
        <is>
          <t>T6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>
        <f>COUNTIF(F10:T10,"Y")</f>
        <v/>
      </c>
      <c r="V10" s="5">
        <f>COUNTIF(F10:T10,"N")</f>
        <v/>
      </c>
      <c r="W10" s="5">
        <f>IF(U10+V10=0,"",IF(U10&gt;=E10,"SUPPORTED",IF(V10&gt;=16-E10,"CONTRADICTED","UNKNOWN")))</f>
        <v/>
      </c>
    </row>
    <row r="11">
      <c r="A11" s="4" t="inlineStr">
        <is>
          <t>F2</t>
        </is>
      </c>
      <c r="B11" s="5" t="inlineStr">
        <is>
          <t>Rain-onset language survives being wrong</t>
        </is>
      </c>
      <c r="C11" s="5" t="inlineStr">
        <is>
          <t>He tolerates estimate wording and keeps using it</t>
        </is>
      </c>
      <c r="D11" s="5" t="inlineStr">
        <is>
          <t>He punishes any miss</t>
        </is>
      </c>
      <c r="E11" s="5" t="n">
        <v>6</v>
      </c>
      <c r="F11" s="5" t="inlineStr">
        <is>
          <t>T7, I42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>
        <f>COUNTIF(F11:T11,"Y")</f>
        <v/>
      </c>
      <c r="V11" s="5">
        <f>COUNTIF(F11:T11,"N")</f>
        <v/>
      </c>
      <c r="W11" s="5">
        <f>IF(U11+V11=0,"",IF(U11&gt;=E11,"SUPPORTED",IF(V11&gt;=16-E11,"CONTRADICTED","UNKNOWN")))</f>
        <v/>
      </c>
    </row>
    <row r="12">
      <c r="A12" s="4" t="inlineStr">
        <is>
          <t>F3</t>
        </is>
      </c>
      <c r="B12" s="5" t="inlineStr">
        <is>
          <t>The map is readable and its age is understood</t>
        </is>
      </c>
      <c r="C12" s="5" t="inlineStr">
        <is>
          <t>He finds his place and reads the date / kadirio</t>
        </is>
      </c>
      <c r="D12" s="5" t="inlineStr">
        <is>
          <t>He reads the map as today</t>
        </is>
      </c>
      <c r="E12" s="5" t="n">
        <v>6</v>
      </c>
      <c r="F12" s="5" t="inlineStr">
        <is>
          <t>T5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>
        <f>COUNTIF(F12:T12,"Y")</f>
        <v/>
      </c>
      <c r="V12" s="5">
        <f>COUNTIF(F12:T12,"N")</f>
        <v/>
      </c>
      <c r="W12" s="5">
        <f>IF(U12+V12=0,"",IF(U12&gt;=E12,"SUPPORTED",IF(V12&gt;=16-E12,"CONTRADICTED","UNKNOWN")))</f>
        <v/>
      </c>
    </row>
    <row r="13">
      <c r="A13" s="4" t="inlineStr">
        <is>
          <t>S1</t>
        </is>
      </c>
      <c r="B13" s="5" t="inlineStr">
        <is>
          <t>He already passes information on, or will</t>
        </is>
      </c>
      <c r="C13" s="5" t="inlineStr">
        <is>
          <t>&gt;=6/10 describe a specific time they passed on water or pest news</t>
        </is>
      </c>
      <c r="D13" s="5" t="inlineStr">
        <is>
          <t>Nobody has ever reported anything to anyone</t>
        </is>
      </c>
      <c r="E13" s="5" t="n">
        <v>6</v>
      </c>
      <c r="F13" s="5" t="inlineStr">
        <is>
          <t>L52-L55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>
        <f>COUNTIF(F13:T13,"Y")</f>
        <v/>
      </c>
      <c r="V13" s="5">
        <f>COUNTIF(F13:T13,"N")</f>
        <v/>
      </c>
      <c r="W13" s="5">
        <f>IF(U13+V13=0,"",IF(U13&gt;=E13,"SUPPORTED",IF(V13&gt;=16-E13,"CONTRADICTED","UNKNOWN")))</f>
        <v/>
      </c>
    </row>
    <row r="14">
      <c r="A14" s="4" t="inlineStr">
        <is>
          <t>S2</t>
        </is>
      </c>
      <c r="B14" s="5" t="inlineStr">
        <is>
          <t>One tap is a price he will pay for the value he gets back</t>
        </is>
      </c>
      <c r="C14" s="5" t="inlineStr">
        <is>
          <t>&gt;=6/10 complete a report unaided, or agree to a test</t>
        </is>
      </c>
      <c r="D14" s="5" t="inlineStr">
        <is>
          <t>Most refuse</t>
        </is>
      </c>
      <c r="E14" s="5" t="n">
        <v>6</v>
      </c>
      <c r="F14" s="5" t="inlineStr">
        <is>
          <t>T3, L53, M57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>
        <f>COUNTIF(F14:T14,"Y")</f>
        <v/>
      </c>
      <c r="V14" s="5">
        <f>COUNTIF(F14:T14,"N")</f>
        <v/>
      </c>
      <c r="W14" s="5">
        <f>IF(U14+V14=0,"",IF(U14&gt;=E14,"SUPPORTED",IF(V14&gt;=16-E14,"CONTRADICTED","UNKNOWN")))</f>
        <v/>
      </c>
    </row>
    <row r="15">
      <c r="A15" s="4" t="inlineStr">
        <is>
          <t>S3</t>
        </is>
      </c>
      <c r="B15" s="5" t="inlineStr">
        <is>
          <t>His reports are good enough to sell</t>
        </is>
      </c>
      <c r="C15" s="5" t="inlineStr">
        <is>
          <t>Place names, status and timing are what a buyer would accept</t>
        </is>
      </c>
      <c r="D15" s="5" t="inlineStr">
        <is>
          <t>Too coarse or too late</t>
        </is>
      </c>
      <c r="E15" s="5" t="n">
        <v>6</v>
      </c>
      <c r="F15" s="5" t="inlineStr">
        <is>
          <t>L54, T2, T3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>
        <f>COUNTIF(F15:T15,"Y")</f>
        <v/>
      </c>
      <c r="V15" s="5">
        <f>COUNTIF(F15:T15,"N")</f>
        <v/>
      </c>
      <c r="W15" s="5">
        <f>IF(U15+V15=0,"",IF(U15&gt;=E15,"SUPPORTED",IF(V15&gt;=16-E15,"CONTRADICTED","UNKNOWN")))</f>
        <v/>
      </c>
    </row>
    <row r="16">
      <c r="A16" s="4" t="inlineStr">
        <is>
          <t>S4</t>
        </is>
      </c>
      <c r="B16" s="5" t="inlineStr">
        <is>
          <t>He keeps contributing without being paid</t>
        </is>
      </c>
      <c r="C16" s="5" t="inlineStr">
        <is>
          <t>He names a concrete gain and is still reporting two weeks later</t>
        </is>
      </c>
      <c r="D16" s="5" t="inlineStr">
        <is>
          <t>One report, then silence</t>
        </is>
      </c>
      <c r="E16" s="5" t="n">
        <v>6</v>
      </c>
      <c r="F16" s="5" t="inlineStr">
        <is>
          <t>K48, K51, T4, the 2-week call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>
        <f>COUNTIF(F16:T16,"Y")</f>
        <v/>
      </c>
      <c r="V16" s="5">
        <f>COUNTIF(F16:T16,"N")</f>
        <v/>
      </c>
      <c r="W16" s="5">
        <f>IF(U16+V16=0,"",IF(U16&gt;=E16,"SUPPORTED",IF(V16&gt;=16-E16,"CONTRADICTED","UNKNOWN")))</f>
        <v/>
      </c>
    </row>
    <row r="17">
      <c r="A17" s="4" t="inlineStr">
        <is>
          <t>V1</t>
        </is>
      </c>
      <c r="B17" s="5" t="inlineStr">
        <is>
          <t>An institution already pays to collect this kind of data</t>
        </is>
      </c>
      <c r="C17" s="5" t="inlineStr">
        <is>
          <t>A named buyer with a real current spend (fuel, staff, surveys, M&amp;E)</t>
        </is>
      </c>
      <c r="D17" s="5" t="inlineStr">
        <is>
          <t>Nobody spends anything on it</t>
        </is>
      </c>
      <c r="E17" s="5" t="n">
        <v>1</v>
      </c>
      <c r="F17" s="5" t="inlineStr">
        <is>
          <t>informant C2, C5, J46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>
        <f>COUNTIF(F17:T17,"Y")</f>
        <v/>
      </c>
      <c r="V17" s="5">
        <f>COUNTIF(F17:T17,"N")</f>
        <v/>
      </c>
      <c r="W17" s="5">
        <f>IF(U17+V17=0,"",IF(U17&gt;=E17,"SUPPORTED",IF(V17&gt;=16-E17,"CONTRADICTED","UNKNOWN")))</f>
        <v/>
      </c>
    </row>
    <row r="18">
      <c r="A18" s="4" t="inlineStr">
        <is>
          <t>V2</t>
        </is>
      </c>
      <c r="B18" s="5" t="inlineStr">
        <is>
          <t>That spend is reachable: a budget line, an owner, a cycle</t>
        </is>
      </c>
      <c r="C18" s="5" t="inlineStr">
        <is>
          <t>A line item, a named officer, a date when it is decided</t>
        </is>
      </c>
      <c r="D18" s="5" t="inlineStr">
        <is>
          <t>Only good intentions, no line</t>
        </is>
      </c>
      <c r="E18" s="5" t="n">
        <v>1</v>
      </c>
      <c r="F18" s="5" t="inlineStr">
        <is>
          <t>informant C2.4, C5.2, C5.4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>
        <f>COUNTIF(F18:T18,"Y")</f>
        <v/>
      </c>
      <c r="V18" s="5">
        <f>COUNTIF(F18:T18,"N")</f>
        <v/>
      </c>
      <c r="W18" s="5">
        <f>IF(U18+V18=0,"",IF(U18&gt;=E18,"SUPPORTED",IF(V18&gt;=16-E18,"CONTRADICTED","UNKNOWN")))</f>
        <v/>
      </c>
    </row>
    <row r="19">
      <c r="A19" s="4" t="inlineStr">
        <is>
          <t>V3</t>
        </is>
      </c>
      <c r="B19" s="5" t="inlineStr">
        <is>
          <t>The chief, the agrovet and the water committee will carry it</t>
        </is>
      </c>
      <c r="C19" s="5" t="inlineStr">
        <is>
          <t>&gt;=3 credible distribution offers, with names</t>
        </is>
      </c>
      <c r="D19" s="5" t="inlineStr">
        <is>
          <t>Nobody carries it</t>
        </is>
      </c>
      <c r="E19" s="5" t="n">
        <v>3</v>
      </c>
      <c r="F19" s="5" t="inlineStr">
        <is>
          <t>M58, M59, informants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>
        <f>COUNTIF(F19:T19,"Y")</f>
        <v/>
      </c>
      <c r="V19" s="5">
        <f>COUNTIF(F19:T19,"N")</f>
        <v/>
      </c>
      <c r="W19" s="5">
        <f>IF(U19+V19=0,"",IF(U19&gt;=E19,"SUPPORTED",IF(V19&gt;=16-E19,"CONTRADICTED","UNKNOWN")))</f>
        <v/>
      </c>
    </row>
    <row r="20">
      <c r="A20" s="4" t="inlineStr">
        <is>
          <t>V4</t>
        </is>
      </c>
      <c r="B20" s="5" t="inlineStr">
        <is>
          <t>No gatekeeper blocks it</t>
        </is>
      </c>
      <c r="C20" s="5" t="inlineStr">
        <is>
          <t>Nobody objects or claims ownership</t>
        </is>
      </c>
      <c r="D20" s="5" t="inlineStr">
        <is>
          <t>A veto appears</t>
        </is>
      </c>
      <c r="E20" s="5" t="n">
        <v>6</v>
      </c>
      <c r="F20" s="5" t="inlineStr">
        <is>
          <t>informants, I44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>
        <f>COUNTIF(F20:T20,"Y")</f>
        <v/>
      </c>
      <c r="V20" s="5">
        <f>COUNTIF(F20:T20,"N")</f>
        <v/>
      </c>
      <c r="W20" s="5">
        <f>IF(U20+V20=0,"",IF(U20&gt;=E20,"SUPPORTED",IF(V20&gt;=16-E20,"CONTRADICTED","UNKNOWN")))</f>
        <v/>
      </c>
    </row>
    <row r="21">
      <c r="A21" s="4" t="inlineStr">
        <is>
          <t>I1</t>
        </is>
      </c>
      <c r="B21" s="5" t="inlineStr">
        <is>
          <t>Early information reaches the household, not only the herd owner</t>
        </is>
      </c>
      <c r="C21" s="5" t="inlineStr">
        <is>
          <t>Women and phone-sharers describe concrete household gains</t>
        </is>
      </c>
      <c r="D21" s="5" t="inlineStr">
        <is>
          <t>The beneficiary never sees the message</t>
        </is>
      </c>
      <c r="E21" s="5" t="n">
        <v>6</v>
      </c>
      <c r="F21" s="5" t="inlineStr">
        <is>
          <t>K48-K51, G32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>
        <f>COUNTIF(F21:T21,"Y")</f>
        <v/>
      </c>
      <c r="V21" s="5">
        <f>COUNTIF(F21:T21,"N")</f>
        <v/>
      </c>
      <c r="W21" s="5">
        <f>IF(U21+V21=0,"",IF(U21&gt;=E21,"SUPPORTED",IF(V21&gt;=16-E21,"CONTRADICTED","UNKNOWN")))</f>
        <v/>
      </c>
    </row>
    <row r="22">
      <c r="A22" s="4" t="inlineStr">
        <is>
          <t>I2</t>
        </is>
      </c>
      <c r="B22" s="5" t="inlineStr">
        <is>
          <t>The change is fewer wasted walks, less milk drop, fewer dead animals</t>
        </is>
      </c>
      <c r="C22" s="5" t="inlineStr">
        <is>
          <t>Two or more describable in numbers</t>
        </is>
      </c>
      <c r="D22" s="5" t="inlineStr">
        <is>
          <t>Only it feels useful</t>
        </is>
      </c>
      <c r="E22" s="5" t="n">
        <v>6</v>
      </c>
      <c r="F22" s="5" t="inlineStr">
        <is>
          <t>C12, D19, K49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>
        <f>COUNTIF(F22:T22,"Y")</f>
        <v/>
      </c>
      <c r="V22" s="5">
        <f>COUNTIF(F22:T22,"N")</f>
        <v/>
      </c>
      <c r="W22" s="5">
        <f>IF(U22+V22=0,"",IF(U22&gt;=E22,"SUPPORTED",IF(V22&gt;=16-E22,"CONTRADICTED","UNKNOWN")))</f>
        <v/>
      </c>
    </row>
    <row r="23">
      <c r="A23" s="4" t="inlineStr">
        <is>
          <t>A1</t>
        </is>
      </c>
      <c r="B23" s="5" t="inlineStr">
        <is>
          <t>A pastoralist decides where to move, and is able to move</t>
        </is>
      </c>
      <c r="C23" s="5" t="inlineStr">
        <is>
          <t>—</t>
        </is>
      </c>
      <c r="D23" s="5" t="inlineStr">
        <is>
          <t>The decision is collective, or animals are held by a relative</t>
        </is>
      </c>
      <c r="E23" s="5" t="n">
        <v>6</v>
      </c>
      <c r="F23" s="5" t="inlineStr">
        <is>
          <t>B4-B9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>
        <f>COUNTIF(F23:T23,"Y")</f>
        <v/>
      </c>
      <c r="V23" s="5">
        <f>COUNTIF(F23:T23,"N")</f>
        <v/>
      </c>
      <c r="W23" s="5">
        <f>IF(U23+V23=0,"",IF(U23&gt;=E23,"SUPPORTED",IF(V23&gt;=16-E23,"CONTRADICTED","UNKNOWN")))</f>
        <v/>
      </c>
    </row>
    <row r="24">
      <c r="A24" s="4" t="inlineStr">
        <is>
          <t>A2</t>
        </is>
      </c>
      <c r="B24" s="5" t="inlineStr">
        <is>
          <t>He wants advice from a phone more than his current sources</t>
        </is>
      </c>
      <c r="C24" s="5" t="inlineStr">
        <is>
          <t>—</t>
        </is>
      </c>
      <c r="D24" s="5" t="inlineStr">
        <is>
          <t>He trusts the chief or radio, and says a phone cannot be checked</t>
        </is>
      </c>
      <c r="E24" s="5" t="n">
        <v>6</v>
      </c>
      <c r="F24" s="5" t="inlineStr">
        <is>
          <t>F27-F31, I43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>
        <f>COUNTIF(F24:T24,"Y")</f>
        <v/>
      </c>
      <c r="V24" s="5">
        <f>COUNTIF(F24:T24,"N")</f>
        <v/>
      </c>
      <c r="W24" s="5">
        <f>IF(U24+V24=0,"",IF(U24&gt;=E24,"SUPPORTED",IF(V24&gt;=16-E24,"CONTRADICTED","UNKNOWN")))</f>
        <v/>
      </c>
    </row>
    <row r="25">
      <c r="A25" s="4" t="inlineStr">
        <is>
          <t>A3</t>
        </is>
      </c>
      <c r="B25" s="5" t="inlineStr">
        <is>
          <t>Our data is good enough at the decision moment</t>
        </is>
      </c>
      <c r="C25" s="5" t="inlineStr">
        <is>
          <t>—</t>
        </is>
      </c>
      <c r="D25" s="5" t="inlineStr">
        <is>
          <t>He corrects most of what we show him</t>
        </is>
      </c>
      <c r="E25" s="5" t="n">
        <v>6</v>
      </c>
      <c r="F25" s="5" t="inlineStr">
        <is>
          <t>T2, T5, T6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>
        <f>COUNTIF(F25:T25,"Y")</f>
        <v/>
      </c>
      <c r="V25" s="5">
        <f>COUNTIF(F25:T25,"N")</f>
        <v/>
      </c>
      <c r="W25" s="5">
        <f>IF(U25+V25=0,"",IF(U25&gt;=E25,"SUPPORTED",IF(V25&gt;=16-E25,"CONTRADICTED","UNKNOWN")))</f>
        <v/>
      </c>
    </row>
    <row r="26">
      <c r="A26" s="4" t="inlineStr">
        <is>
          <t>A4</t>
        </is>
      </c>
      <c r="B26" s="5" t="inlineStr">
        <is>
          <t>We can reach him without an NGO or the county</t>
        </is>
      </c>
      <c r="C26" s="5" t="inlineStr">
        <is>
          <t>—</t>
        </is>
      </c>
      <c r="D26" s="5" t="inlineStr">
        <is>
          <t>Distribution needs a gatekeeper we do not have</t>
        </is>
      </c>
      <c r="E26" s="5" t="n">
        <v>6</v>
      </c>
      <c r="F26" s="5" t="inlineStr">
        <is>
          <t>informants, M58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>
        <f>COUNTIF(F26:T26,"Y")</f>
        <v/>
      </c>
      <c r="V26" s="5">
        <f>COUNTIF(F26:T26,"N")</f>
        <v/>
      </c>
      <c r="W26" s="5">
        <f>IF(U26+V26=0,"",IF(U26&gt;=E26,"SUPPORTED",IF(V26&gt;=16-E26,"CONTRADICTED","UNKNOWN")))</f>
        <v/>
      </c>
    </row>
  </sheetData>
  <dataValidations count="1">
    <dataValidation sqref="F2:T26" showDropDown="0" showInputMessage="0" showErrorMessage="0" allowBlank="1" type="list">
      <formula1>"Y,N,?"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2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10" customWidth="1" min="20" max="20"/>
    <col width="10" customWidth="1" min="21" max="21"/>
    <col width="10" customWidth="1" min="22" max="22"/>
    <col width="40" customWidth="1" min="23" max="23"/>
  </cols>
  <sheetData>
    <row r="1">
      <c r="A1" s="3" t="inlineStr">
        <is>
          <t>#</t>
        </is>
      </c>
      <c r="B1" s="3" t="inlineStr">
        <is>
          <t>Date</t>
        </is>
      </c>
      <c r="C1" s="3" t="inlineStr">
        <is>
          <t>Place</t>
        </is>
      </c>
      <c r="D1" s="3" t="inlineStr">
        <is>
          <t>Ward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Minutes</t>
        </is>
      </c>
      <c r="H1" s="3" t="inlineStr">
        <is>
          <t>Consent (Y/N)</t>
        </is>
      </c>
      <c r="I1" s="3" t="inlineStr">
        <is>
          <t>Recorder (Y/N)</t>
        </is>
      </c>
      <c r="J1" s="3" t="inlineStr">
        <is>
          <t>Who present</t>
        </is>
      </c>
      <c r="K1" s="3" t="inlineStr">
        <is>
          <t>T1 unaided find</t>
        </is>
      </c>
      <c r="L1" s="3" t="inlineStr">
        <is>
          <t>T2 misreadings</t>
        </is>
      </c>
      <c r="M1" s="3" t="inlineStr">
        <is>
          <t>T3 one-tap report</t>
        </is>
      </c>
      <c r="N1" s="3" t="inlineStr">
        <is>
          <t>T4 voice / text</t>
        </is>
      </c>
      <c r="O1" s="3" t="inlineStr">
        <is>
          <t>T5 map verdict</t>
        </is>
      </c>
      <c r="P1" s="3" t="inlineStr">
        <is>
          <t>T6 reference weight</t>
        </is>
      </c>
      <c r="Q1" s="3" t="inlineStr">
        <is>
          <t>T7 uncertainty</t>
        </is>
      </c>
      <c r="R1" s="3" t="inlineStr">
        <is>
          <t>T8 forward path</t>
        </is>
      </c>
      <c r="S1" s="3" t="inlineStr">
        <is>
          <t>Callback agreed (Y/N)</t>
        </is>
      </c>
      <c r="T1" s="3" t="inlineStr">
        <is>
          <t>Introduction given (Y/N)</t>
        </is>
      </c>
      <c r="U1" s="3" t="inlineStr">
        <is>
          <t>Test agreed (Y/N)</t>
        </is>
      </c>
      <c r="V1" s="3" t="inlineStr">
        <is>
          <t>My one line tonight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dataValidations count="1">
    <dataValidation sqref="H2:I16 S2:U1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  <col width="14" customWidth="1" min="4" max="4"/>
    <col width="62" customWidth="1" min="5" max="5"/>
    <col width="40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Interview #</t>
        </is>
      </c>
      <c r="C1" s="3" t="inlineStr">
        <is>
          <t>Section</t>
        </is>
      </c>
      <c r="D1" s="3" t="inlineStr">
        <is>
          <t>Tag</t>
        </is>
      </c>
      <c r="E1" s="3" t="inlineStr">
        <is>
          <t>Quote (verbatim)</t>
        </is>
      </c>
      <c r="F1" s="3" t="inlineStr">
        <is>
          <t>Translation (if not English/Swahili)</t>
        </is>
      </c>
      <c r="G1" s="3" t="inlineStr">
        <is>
          <t>Hypothesis id</t>
        </is>
      </c>
    </row>
  </sheetData>
  <dataValidations count="1">
    <dataValidation sqref="D2:D200" showDropDown="0" showInputMessage="0" showErrorMessage="0" allowBlank="1" type="list">
      <formula1>"FACT,NUMBER,QUOTE,WORKAROUND,PAYMENT,TRUST-BREAK,COMMITMENT,BLOCKER"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2" customWidth="1" min="4" max="4"/>
    <col width="10" customWidth="1" min="5" max="5"/>
    <col width="8" customWidth="1" min="6" max="6"/>
    <col width="14" customWidth="1" min="7" max="7"/>
  </cols>
  <sheetData>
    <row r="1">
      <c r="A1" s="3" t="inlineStr">
        <is>
          <t>Interview #</t>
        </is>
      </c>
      <c r="B1" s="3" t="inlineStr">
        <is>
          <t>Item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Question #</t>
        </is>
      </c>
      <c r="F1" s="3" t="inlineStr">
        <is>
          <t>Hyp id</t>
        </is>
      </c>
      <c r="G1" s="3" t="inlineStr">
        <is>
          <t>Tag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30" customWidth="1" min="4" max="4"/>
    <col width="30" customWidth="1" min="5" max="5"/>
    <col width="9" customWidth="1" min="6" max="6"/>
    <col width="9" customWidth="1" min="7" max="7"/>
    <col width="18" customWidth="1" min="8" max="8"/>
    <col width="26" customWidth="1" min="9" max="9"/>
    <col width="12" customWidth="1" min="10" max="10"/>
    <col width="12" customWidth="1" min="11" max="11"/>
  </cols>
  <sheetData>
    <row r="1">
      <c r="A1" s="3" t="inlineStr">
        <is>
          <t>Role</t>
        </is>
      </c>
      <c r="B1" s="3" t="inlineStr">
        <is>
          <t>Who (real name)</t>
        </is>
      </c>
      <c r="C1" s="3" t="inlineStr">
        <is>
          <t>Ward</t>
        </is>
      </c>
      <c r="D1" s="3" t="inlineStr">
        <is>
          <t>What they want</t>
        </is>
      </c>
      <c r="E1" s="3" t="inlineStr">
        <is>
          <t>What it costs them today</t>
        </is>
      </c>
      <c r="F1" s="3" t="inlineStr">
        <is>
          <t>Gives (data)</t>
        </is>
      </c>
      <c r="G1" s="3" t="inlineStr">
        <is>
          <t>Pays?</t>
        </is>
      </c>
      <c r="H1" s="3" t="inlineStr">
        <is>
          <t>Contact</t>
        </is>
      </c>
      <c r="I1" s="3" t="inlineStr">
        <is>
          <t>Next step</t>
        </is>
      </c>
      <c r="J1" s="3" t="inlineStr">
        <is>
          <t>Owner</t>
        </is>
      </c>
      <c r="K1" s="3" t="inlineStr">
        <is>
          <t>Date</t>
        </is>
      </c>
    </row>
    <row r="2">
      <c r="A2" t="inlineStr">
        <is>
          <t>Herder / owner — user, decision maker</t>
        </is>
      </c>
      <c r="B2" t="inlineStr"/>
      <c r="C2" t="inlineStr"/>
      <c r="D2" t="inlineStr">
        <is>
          <t>Not to lose animals; know where to move</t>
        </is>
      </c>
      <c r="E2" t="inlineStr">
        <is>
          <t>Wasted walks, dead animals, milk drop</t>
        </is>
      </c>
      <c r="F2" t="inlineStr">
        <is>
          <t>One-tap report from the point</t>
        </is>
      </c>
      <c r="G2" t="inlineStr">
        <is>
          <t>Never pays</t>
        </is>
      </c>
    </row>
    <row r="3">
      <c r="A3" t="inlineStr">
        <is>
          <t>Young herder — user, daily with the animals</t>
        </is>
      </c>
      <c r="B3" t="inlineStr"/>
      <c r="C3" t="inlineStr"/>
      <c r="D3" t="inlineStr">
        <is>
          <t>Water today, no wasted walking</t>
        </is>
      </c>
      <c r="E3" t="inlineStr">
        <is>
          <t>Hours, km, heat</t>
        </is>
      </c>
      <c r="F3" t="inlineStr">
        <is>
          <t>The most reports, most often</t>
        </is>
      </c>
      <c r="G3" t="inlineStr">
        <is>
          <t>Never pays</t>
        </is>
      </c>
    </row>
    <row r="4">
      <c r="A4" t="inlineStr">
        <is>
          <t>Woman in the manyatta — user + beneficiary</t>
        </is>
      </c>
      <c r="B4" t="inlineStr"/>
      <c r="C4" t="inlineStr"/>
      <c r="D4" t="inlineStr">
        <is>
          <t>Milk, children's food, water, milk price</t>
        </is>
      </c>
      <c r="E4" t="inlineStr">
        <is>
          <t>Walks to water, milk loss, sick shoats</t>
        </is>
      </c>
      <c r="F4" t="inlineStr">
        <is>
          <t>Queue and shoats observations</t>
        </is>
      </c>
      <c r="G4" t="inlineStr">
        <is>
          <t>Never pays</t>
        </is>
      </c>
    </row>
    <row r="5">
      <c r="A5" t="inlineStr">
        <is>
          <t>Household / children / elderly — beneficiary</t>
        </is>
      </c>
      <c r="B5" t="inlineStr"/>
      <c r="C5" t="inlineStr"/>
      <c r="D5" t="inlineStr">
        <is>
          <t>Food, milk, income stability</t>
        </is>
      </c>
      <c r="E5" t="inlineStr">
        <is>
          <t>Nutrition when herds fail</t>
        </is>
      </c>
      <c r="F5" t="inlineStr">
        <is>
          <t>Nothing — he is why the herder never pays</t>
        </is>
      </c>
      <c r="G5" t="inlineStr">
        <is>
          <t>Never pays</t>
        </is>
      </c>
    </row>
    <row r="6">
      <c r="A6" t="inlineStr">
        <is>
          <t>Water point committee / WRUA — gatekeeper</t>
        </is>
      </c>
      <c r="B6" t="inlineStr"/>
      <c r="C6" t="inlineStr"/>
      <c r="D6" t="inlineStr">
        <is>
          <t>A working point, no fights</t>
        </is>
      </c>
      <c r="E6" t="inlineStr">
        <is>
          <t>Queue conflict, breakdowns</t>
        </is>
      </c>
      <c r="F6" t="inlineStr">
        <is>
          <t>Confirms repairs, validates reports</t>
        </is>
      </c>
      <c r="G6" t="inlineStr">
        <is>
          <t>No (may hold a fund)</t>
        </is>
      </c>
    </row>
    <row r="7">
      <c r="A7" t="inlineStr">
        <is>
          <t>Agrovet — channel + trust anchor</t>
        </is>
      </c>
      <c r="B7" t="inlineStr"/>
      <c r="C7" t="inlineStr"/>
      <c r="D7" t="inlineStr">
        <is>
          <t>Footfall, correct drug use</t>
        </is>
      </c>
      <c r="E7" t="inlineStr">
        <is>
          <t>Wrong products bought, no follow-up</t>
        </is>
      </c>
      <c r="F7" t="inlineStr">
        <is>
          <t>Distribution; pest observations at the counter</t>
        </is>
      </c>
      <c r="G7" t="inlineStr">
        <is>
          <t>Maybe — footfall/stock data</t>
        </is>
      </c>
    </row>
    <row r="8">
      <c r="A8" t="inlineStr">
        <is>
          <t>County livestock / water dept — BUYER</t>
        </is>
      </c>
      <c r="B8" t="inlineStr"/>
      <c r="C8" t="inlineStr"/>
      <c r="D8" t="inlineStr">
        <is>
          <t>Surveillance, service delivery, fewer outbreaks</t>
        </is>
      </c>
      <c r="E8" t="inlineStr">
        <is>
          <t>Collecting ward ground truth by vehicle and phone</t>
        </is>
      </c>
      <c r="F8" t="inlineStr">
        <is>
          <t>Nothing (or it reviews our wording)</t>
        </is>
      </c>
      <c r="G8" t="inlineStr">
        <is>
          <t>YES — county budget line</t>
        </is>
      </c>
    </row>
    <row r="9">
      <c r="A9" t="inlineStr">
        <is>
          <t>NDMA ward officer — BUYER / data partner</t>
        </is>
      </c>
      <c r="B9" t="inlineStr"/>
      <c r="C9" t="inlineStr"/>
      <c r="D9" t="inlineStr">
        <is>
          <t>Timely ward ground truth on water and pasture</t>
        </is>
      </c>
      <c r="E9" t="inlineStr">
        <is>
          <t>Fuel, staff time, late reports</t>
        </is>
      </c>
      <c r="F9" t="inlineStr">
        <is>
          <t>Nothing (it is a consumer)</t>
        </is>
      </c>
      <c r="G9" t="inlineStr">
        <is>
          <t>YES — monitoring / early-warning line</t>
        </is>
      </c>
    </row>
    <row r="10">
      <c r="A10" t="inlineStr">
        <is>
          <t>NGO / CBO project — BUYER (M&amp;E)</t>
        </is>
      </c>
      <c r="B10" t="inlineStr"/>
      <c r="C10" t="inlineStr"/>
      <c r="D10" t="inlineStr">
        <is>
          <t>Reach, evidence for funders</t>
        </is>
      </c>
      <c r="E10" t="inlineStr">
        <is>
          <t>Expensive last-mile data collection</t>
        </is>
      </c>
      <c r="F10" t="inlineStr">
        <is>
          <t>Distribution and field access</t>
        </is>
      </c>
      <c r="G10" t="inlineStr">
        <is>
          <t>YES — per ward per month</t>
        </is>
      </c>
    </row>
    <row r="11">
      <c r="A11" t="inlineStr">
        <is>
          <t>Insurer / research institute — buyer, later</t>
        </is>
      </c>
      <c r="B11" t="inlineStr"/>
      <c r="C11" t="inlineStr"/>
      <c r="D11" t="inlineStr">
        <is>
          <t>Underwriting data; longitudinal herd data</t>
        </is>
      </c>
      <c r="E11" t="inlineStr">
        <is>
          <t>Sample surveys, scarce baselines</t>
        </is>
      </c>
      <c r="F11" t="inlineStr">
        <is>
          <t>Nothing</t>
        </is>
      </c>
      <c r="G11" t="inlineStr">
        <is>
          <t>Later — needs 6+ months of records</t>
        </is>
      </c>
    </row>
    <row r="12">
      <c r="A12" t="inlineStr">
        <is>
          <t>Chief / ward admin — distribution</t>
        </is>
      </c>
      <c r="B12" t="inlineStr"/>
      <c r="C12" t="inlineStr"/>
      <c r="D12" t="inlineStr">
        <is>
          <t>Order, service, being seen to help</t>
        </is>
      </c>
      <c r="E12" t="inlineStr">
        <is>
          <t>Nothing</t>
        </is>
      </c>
      <c r="F12" t="inlineStr">
        <is>
          <t>Baraza announcement, signboard</t>
        </is>
      </c>
      <c r="G1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44" customWidth="1" min="4" max="4"/>
  </cols>
  <sheetData>
    <row r="1">
      <c r="A1" s="6" t="inlineStr">
        <is>
          <t>Decision gate — read this before deciding what to build next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Threshold</t>
        </is>
      </c>
      <c r="D3" s="3" t="inlineStr">
        <is>
          <t>Where it comes from</t>
        </is>
      </c>
    </row>
    <row r="4">
      <c r="A4" t="inlineStr">
        <is>
          <t>Interviews completed (10 pastoralists + 5 informants)</t>
        </is>
      </c>
      <c r="B4">
        <f>COUNTA('03_Interview_Log'!A2:A16)</f>
        <v/>
      </c>
      <c r="C4" t="inlineStr">
        <is>
          <t>15</t>
        </is>
      </c>
      <c r="D4" t="inlineStr">
        <is>
          <t>03_Interview_Log</t>
        </is>
      </c>
    </row>
    <row r="5">
      <c r="A5" t="inlineStr">
        <is>
          <t>A specific costly decision described (D1)</t>
        </is>
      </c>
      <c r="B5">
        <f>'02_Hypotheses'!U2</f>
        <v/>
      </c>
      <c r="C5" t="inlineStr">
        <is>
          <t>&gt;=6</t>
        </is>
      </c>
      <c r="D5" t="inlineStr">
        <is>
          <t>hypothesis D1</t>
        </is>
      </c>
    </row>
    <row r="6">
      <c r="A6" t="inlineStr">
        <is>
          <t>He already reports, or agrees to (S1)</t>
        </is>
      </c>
      <c r="B6">
        <f>'02_Hypotheses'!U13</f>
        <v/>
      </c>
      <c r="C6" t="inlineStr">
        <is>
          <t>&gt;=6</t>
        </is>
      </c>
      <c r="D6" t="inlineStr">
        <is>
          <t>hypothesis S1</t>
        </is>
      </c>
    </row>
    <row r="7">
      <c r="A7" t="inlineStr">
        <is>
          <t>One tap completed unaided or accepted (S2)</t>
        </is>
      </c>
      <c r="B7">
        <f>'02_Hypotheses'!U14</f>
        <v/>
      </c>
      <c r="C7" t="inlineStr">
        <is>
          <t>&gt;=6</t>
        </is>
      </c>
      <c r="D7" t="inlineStr">
        <is>
          <t>hypothesis S2</t>
        </is>
      </c>
    </row>
    <row r="8">
      <c r="A8" t="inlineStr">
        <is>
          <t>His reports are good enough to sell (S3)</t>
        </is>
      </c>
      <c r="B8">
        <f>'02_Hypotheses'!U15</f>
        <v/>
      </c>
      <c r="C8" t="inlineStr">
        <is>
          <t>&gt;=6</t>
        </is>
      </c>
      <c r="D8" t="inlineStr">
        <is>
          <t>hypothesis S3</t>
        </is>
      </c>
    </row>
    <row r="9">
      <c r="A9" t="inlineStr">
        <is>
          <t>A buyer with a real current spend (V1)</t>
        </is>
      </c>
      <c r="B9">
        <f>'02_Hypotheses'!U17</f>
        <v/>
      </c>
      <c r="C9" t="inlineStr">
        <is>
          <t>&gt;=1</t>
        </is>
      </c>
      <c r="D9" t="inlineStr">
        <is>
          <t>hypothesis V1 - informant interviews</t>
        </is>
      </c>
    </row>
    <row r="10">
      <c r="A10" t="inlineStr">
        <is>
          <t>A budget line, owner and cycle (V2)</t>
        </is>
      </c>
      <c r="B10">
        <f>'02_Hypotheses'!U18</f>
        <v/>
      </c>
      <c r="C10" t="inlineStr">
        <is>
          <t>&gt;=1</t>
        </is>
      </c>
      <c r="D10" t="inlineStr">
        <is>
          <t>hypothesis V2 - informant interviews</t>
        </is>
      </c>
    </row>
    <row r="11">
      <c r="A11" t="inlineStr">
        <is>
          <t>Commitments accepted (callback / intro / test)</t>
        </is>
      </c>
      <c r="B11">
        <f>COUNTIF('03_Interview_Log'!S2:U16,"Y")</f>
        <v/>
      </c>
      <c r="C11" t="inlineStr">
        <is>
          <t>&gt;=4</t>
        </is>
      </c>
      <c r="D11" t="inlineStr">
        <is>
          <t>Appendix M / section 4 close</t>
        </is>
      </c>
    </row>
    <row r="13">
      <c r="A13" s="7" t="inlineStr">
        <is>
          <t>VERDICT</t>
        </is>
      </c>
      <c r="B13" s="4">
        <f>IF(B4&lt;10,"NOT ENOUGH INTERVIEWS YET",IF(B5&lt;4,"REFRAME / STOP - fewer than 4 of 10 can describe a specific, costly decision",IF(AND(B5&gt;=6,B6&gt;=6,B7&gt;=6,B9&gt;=1,B10&gt;=1,B11&gt;=4),"GO - the problem, the supply habit, the buyer and the commitments all clear the bar",IF(B9&lt;1,"NO BUYER YET - the service may be real, but no institution currently pays to collect this data: re-read section 8 before building more","PIVOT - the problem or the buyer is there but the supply or the segment is wrong: re-read section 8"))))</f>
        <v/>
      </c>
    </row>
    <row r="15">
      <c r="A15" s="8" t="inlineStr">
        <is>
          <t>Problem clustering (one row per problem; unprompted mentions only)</t>
        </is>
      </c>
    </row>
    <row r="16">
      <c r="A16" s="3" t="inlineStr">
        <is>
          <t>Problem (in their words)</t>
        </is>
      </c>
      <c r="B16" s="3" t="inlineStr">
        <is>
          <t>Unprompted /10</t>
        </is>
      </c>
      <c r="C16" s="3" t="inlineStr">
        <is>
          <t>Cost today (their numbers)</t>
        </is>
      </c>
      <c r="D16" s="3" t="inlineStr">
        <is>
          <t>What they do now</t>
        </is>
      </c>
      <c r="E16" s="3" t="inlineStr">
        <is>
          <t>Does our product address it?</t>
        </is>
      </c>
      <c r="F16" s="3" t="inlineStr">
        <is>
          <t>Verdict</t>
        </is>
      </c>
    </row>
    <row r="24">
      <c r="A24" s="8" t="inlineStr">
        <is>
          <t>Decisions log</t>
        </is>
      </c>
    </row>
    <row r="25">
      <c r="A25" s="3" t="inlineStr">
        <is>
          <t>Decision</t>
        </is>
      </c>
      <c r="B25" s="3" t="inlineStr">
        <is>
          <t>Evidence (interview #, quote or number)</t>
        </is>
      </c>
      <c r="C25" s="3" t="inlineStr">
        <is>
          <t>Owner</t>
        </is>
      </c>
      <c r="D25" s="3" t="inlineStr">
        <is>
          <t>By when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2026-10-06T14:07:29Z</dcterms:created>
  <dcterms:modified xmlns:dcterms="http://purl.org/dc/terms/" xmlns:xsi="http://www.w3.org/2001/XMLSchema-instance" xsi:type="dcterms:W3CDTF">2026-10-06T14:07:29Z</dcterms:modified>
</cp:coreProperties>
</file>